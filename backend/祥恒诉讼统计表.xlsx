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85"/>
  </bookViews>
  <sheets>
    <sheet name="Sheet1" sheetId="1" r:id="rId1"/>
  </sheets>
  <definedNames>
    <definedName name="_xlnm._FilterDatabase" localSheetId="0" hidden="1">Sheet1!$A$2:$W$37</definedName>
  </definedNames>
  <calcPr calcId="144525"/>
</workbook>
</file>

<file path=xl/sharedStrings.xml><?xml version="1.0" encoding="utf-8"?>
<sst xmlns="http://schemas.openxmlformats.org/spreadsheetml/2006/main" count="231" uniqueCount="139">
  <si>
    <t>诉讼项目</t>
  </si>
  <si>
    <t>判决/调解项目</t>
  </si>
  <si>
    <t>序号</t>
  </si>
  <si>
    <t>被诉对象</t>
  </si>
  <si>
    <t>诉讼货款本金</t>
  </si>
  <si>
    <t>律师费</t>
  </si>
  <si>
    <t>利息
(逾期付款违约金/资金占用损失）</t>
  </si>
  <si>
    <t>违约金
（解除合同违约金）</t>
  </si>
  <si>
    <t>诉讼总额
（合计）</t>
  </si>
  <si>
    <t>货款本金</t>
  </si>
  <si>
    <t>违约金</t>
  </si>
  <si>
    <t>诉讼费</t>
  </si>
  <si>
    <t>保全费</t>
  </si>
  <si>
    <t>公告费</t>
  </si>
  <si>
    <t>判决总金额</t>
  </si>
  <si>
    <t>回款金额（元）</t>
  </si>
  <si>
    <t>剩余总额</t>
  </si>
  <si>
    <t>受理法院</t>
  </si>
  <si>
    <t>判决日期</t>
  </si>
  <si>
    <t>判决结果</t>
  </si>
  <si>
    <t>执行进度</t>
  </si>
  <si>
    <r>
      <rPr>
        <b/>
        <sz val="12"/>
        <color theme="1"/>
        <rFont val="宋体"/>
        <charset val="134"/>
        <scheme val="minor"/>
      </rPr>
      <t>被诉对象情况</t>
    </r>
    <r>
      <rPr>
        <b/>
        <sz val="12"/>
        <color rgb="FFFF0000"/>
        <rFont val="宋体"/>
        <charset val="134"/>
        <scheme val="minor"/>
      </rPr>
      <t>（最新）</t>
    </r>
  </si>
  <si>
    <t>下一步计划</t>
  </si>
  <si>
    <t>预计可执行金额</t>
  </si>
  <si>
    <t>长顺县凯明包装服务有限公司</t>
  </si>
  <si>
    <t>贵阳市白云区人民法院</t>
  </si>
  <si>
    <t>判决结案，胜诉</t>
  </si>
  <si>
    <t>车辆已过户给祥恒公司，本案足额回款，已结案</t>
  </si>
  <si>
    <t>贵州中山纸制品有限公司</t>
  </si>
  <si>
    <t>诉讼中调解结案</t>
  </si>
  <si>
    <t>被告已履行完，未进入执行程序</t>
  </si>
  <si>
    <t>贵州南山婆食品加工有限公司</t>
  </si>
  <si>
    <t>安顺市西秀区人民法院</t>
  </si>
  <si>
    <t>遵义宁羽纸箱包装有限公司</t>
  </si>
  <si>
    <t>诉讼前法院组织调解结案，并申请了司法确认</t>
  </si>
  <si>
    <t>执行前调解，祥恒让步部分违约金</t>
  </si>
  <si>
    <t>贵州冀星纸箱包装有限公司</t>
  </si>
  <si>
    <t>已申请强制执行，在执行中履行完毕</t>
  </si>
  <si>
    <t>毕节季平纸业有限公司</t>
  </si>
  <si>
    <t>大方普田塑料有限公司</t>
  </si>
  <si>
    <t>已申请强制执行，正在执行中，执行案号为(2024)黔0113执1267号，已申请追加股东为被执行人，法院裁定同意追加 ，已向法院申请追加股东为被执行人</t>
  </si>
  <si>
    <t>联系不上，公司未经营，经法院查询，银行账户无存款，名下无任何资产</t>
  </si>
  <si>
    <t>查找对方财产线索</t>
  </si>
  <si>
    <t xml:space="preserve">贵州美多彩科技包装有限责任公司
</t>
  </si>
  <si>
    <t>已申请强制执行，正在执行中，执行案号为(2025)黔0113执845号，名下账户无现金，无房产，易志强名下有一辆车，法院打算处理设备</t>
  </si>
  <si>
    <t>公司经营异常，银行账户无存款，无资产</t>
  </si>
  <si>
    <t>启动拍卖设备程序和查找对方财产线索</t>
  </si>
  <si>
    <t>100000-150000</t>
  </si>
  <si>
    <t>贵州辉煌纸业有限公司</t>
  </si>
  <si>
    <t>已申请强制执行，正在执行中，执行案号为(2025)黔0113执474号，法院已划扣4万多执行款，周守虎名下在江苏有一套房，首封有抵押，公司和周翔无房产和存款</t>
  </si>
  <si>
    <t>公司经营异常，周守虎名下在江苏有一套房，首封有抵押，公司和周翔无房产和存款</t>
  </si>
  <si>
    <t>协调法院查询首封的抵押金额，推动拍卖程序</t>
  </si>
  <si>
    <t>贵州皓阳恒兴工贸有限公司</t>
  </si>
  <si>
    <t>已申请强制执行，正在执行中，执行案号为(2024)黔0113执2942号，法院已划扣39万多执行款，同时法院正在处置董林善修文的房屋，正在安排张贴公告，但法院查询到房屋有抵押，同时有共有人，处置结果可能不理想，且处置程序复杂，法院要求公司提起析产诉讼，所以法院目前不太想处置房屋，处置车的话，需要找到车</t>
  </si>
  <si>
    <t>公司经营异常，银行账户无存款，房屋处置存在障碍</t>
  </si>
  <si>
    <t>贵州黄果树中央厨房有限公司</t>
  </si>
  <si>
    <t>已申请强制执行，正在执行中，执行案号为（2024）黔 0402 执 3918 号，法院依法终本</t>
  </si>
  <si>
    <t>银行账户无存款，名下无任何资产，听说有块土地在，但是没有相关的财产线索，且目前该公司债务过多，不停的新增执行案件</t>
  </si>
  <si>
    <t>计划考虑申请该企业破产</t>
  </si>
  <si>
    <t>贵州新华包装印务有限公司</t>
  </si>
  <si>
    <t>204/5/9</t>
  </si>
  <si>
    <t>已申请强制执行，正在执行中，执行案号为（2024）黔0113执2325号 ，法院需要等待新华公司资产处置，新华公司的资产二次挂牌后无人购买，目前被申请破产，在法院审理破产阶段</t>
  </si>
  <si>
    <t>被申请破产中，在破产流程中</t>
  </si>
  <si>
    <t>等待破产的进度，预计能够部分得到清偿</t>
  </si>
  <si>
    <t>安顺市博发印刷包装有限公司</t>
  </si>
  <si>
    <t>博发公司已足额履行</t>
  </si>
  <si>
    <t>贵州捷宏沓精品印刷包装有限责任公司</t>
  </si>
  <si>
    <t>已申请强制执行，正在执行中，执行案号为（2024）黔0113执4237号，肖仕松名下在紫云2套房已查封，其中一套名下有抵押</t>
  </si>
  <si>
    <t>公司经营异常，银行账户无存款</t>
  </si>
  <si>
    <t>拟准备处置房产</t>
  </si>
  <si>
    <t>遵义劲嘉新型智能包装有限公司</t>
  </si>
  <si>
    <t>遵义市绥阳县人民法院</t>
  </si>
  <si>
    <t>被告已履行完毕</t>
  </si>
  <si>
    <t>贵州高原清泉有限公司</t>
  </si>
  <si>
    <t>已申请强制执行</t>
  </si>
  <si>
    <t>公司停业，银行账户无存款，名下无任何资产，涉诉案件较多，由于几个国有股东之间存在争议，可能最终的结果还是申请破产清算</t>
  </si>
  <si>
    <t>贵州海翔包装制品有限公司</t>
  </si>
  <si>
    <t>已申请强制执行，正在执行中，执行案号为（2025）黔0113执762号 ，刘明荣在长顺有套房，轮候查封，无抵押</t>
  </si>
  <si>
    <t>公司经营异常，银行账户无存款，名下无任何资产，房屋处置存在障碍</t>
  </si>
  <si>
    <t>遵义兴艺瑞科技有限公司</t>
  </si>
  <si>
    <t>已申请强制执行，正在执行中，执行案号为（2025）黔0113执678号，</t>
  </si>
  <si>
    <t>公司经营异常，银行账户无存款，名下无任何资产</t>
  </si>
  <si>
    <t>贵阳升辉印务有限责任公司</t>
  </si>
  <si>
    <t>判决结案，驳回诉讼请求</t>
  </si>
  <si>
    <t>败诉案件，未申请执行</t>
  </si>
  <si>
    <t>贵州省鑫韵来印刷包装有限公司</t>
  </si>
  <si>
    <t>被告已按判决书履行</t>
  </si>
  <si>
    <t>贵州百凤庭食品有限公司</t>
  </si>
  <si>
    <t>申请强制执行，已足额执行142053元，执行完毕</t>
  </si>
  <si>
    <t>遵义大创意包装科技有限公司</t>
  </si>
  <si>
    <t>已向法院申请强制执行，线下查封被执行人的机械设备，同时对法院的执行行为提出异议，要求参与分配</t>
  </si>
  <si>
    <t>公司停业，银行账户无存款，名下设备资产已被另案处置，法院不同意分配</t>
  </si>
  <si>
    <t>贵州问候自然荞麦健康食品有限公司</t>
  </si>
  <si>
    <t>六枝特区人民法院</t>
  </si>
  <si>
    <t>仁怀市明华纸箱厂</t>
  </si>
  <si>
    <t>已申请强制执行，暂未执行到款项</t>
  </si>
  <si>
    <t>登记在该公司名下的财产没有，但是该公司的实际控制人可能愿意提供酒等资产抵偿，如果这样，公司可能能够回收一部分款项</t>
  </si>
  <si>
    <t>贵州贤丰包装科技有限公司</t>
  </si>
  <si>
    <t>贵州鑫优佳包装有限公司</t>
  </si>
  <si>
    <t>未申请执行，对方在陆续回款</t>
  </si>
  <si>
    <t>公司负责人涉及刑事案件还在处理中，公司经营异常，银行账户无存款，名下无任何资产，在尽力偿还本案债权</t>
  </si>
  <si>
    <t>看对方陆续回款的情况</t>
  </si>
  <si>
    <t>贵州浩宸食品有限公司</t>
  </si>
  <si>
    <t>强制执行已立案，刘应仙提出执行异议，需要祥恒公司进行答辩</t>
  </si>
  <si>
    <t>公司负责人已故，已停业，银行账户无存款，名下无任何资产涉诉案件较多，遗产继承人放弃继承</t>
  </si>
  <si>
    <t>争议比较大，涉及到继承纠纷和执行异议等问题，如果没有相关的遗产，预计回款为0</t>
  </si>
  <si>
    <t>安顺五彩包装服务有限公司</t>
  </si>
  <si>
    <t>未申请执行，对方货款已支付货款、律师费、诉讼费等</t>
  </si>
  <si>
    <t>贵州裕豐纸业实业有限公司和贵州创天海恒贸易有限公司</t>
  </si>
  <si>
    <t>已申请强制执行，暂未执行到款项，线下查封设备</t>
  </si>
  <si>
    <t>公司经营异常，银行账户无存款，名下设备已被查封</t>
  </si>
  <si>
    <t>贵州裕丰泰包装有限公司</t>
  </si>
  <si>
    <t>被告开庭前足额支付货款，本案案撤诉处理</t>
  </si>
  <si>
    <t>撤诉，未申请执行</t>
  </si>
  <si>
    <t>安顺宇扬包装有限公司</t>
  </si>
  <si>
    <t xml:space="preserve">撤诉 </t>
  </si>
  <si>
    <t>撤诉结案，未申请执行</t>
  </si>
  <si>
    <t>贵州暖宜泰电器有限公司</t>
  </si>
  <si>
    <t>贵州中贝印刷包装有限公司</t>
  </si>
  <si>
    <t>贵州黔龙宏阳包装有限公司</t>
  </si>
  <si>
    <t>执行中，查封对方设备，鉴于设备拍卖评估费较高，法院建议先找到卖家之后启动拍卖程序，但目前一直未找到买家</t>
  </si>
  <si>
    <t>公司停业，银行账户无存款，名下设备资产已被查封</t>
  </si>
  <si>
    <t>启动拍卖设备程序和查找对方财产线索，前提是公司需要同意</t>
  </si>
  <si>
    <t>贵州华程包装有限公司</t>
  </si>
  <si>
    <t>法院正在排期开庭</t>
  </si>
  <si>
    <t xml:space="preserve">长顺县天然食品有限责任公司 </t>
  </si>
  <si>
    <t>强制执行中</t>
  </si>
  <si>
    <t xml:space="preserve">（新）贵州裕丰泰包装有限公司 </t>
  </si>
  <si>
    <t>贵州博语生物科技有限公司</t>
  </si>
  <si>
    <t>贵州安顺鑫顺达印务有限公司</t>
  </si>
  <si>
    <t>贵州万通包装科技有限公司</t>
  </si>
  <si>
    <t>排队诉讼中</t>
  </si>
  <si>
    <t>贵州金品源包装有限公司</t>
  </si>
  <si>
    <t>贵州黔庄酒业集团有限公司</t>
  </si>
  <si>
    <t>讼贵州夏云永恒包装有限公司</t>
  </si>
  <si>
    <t>贵州明阔纸业包装有限责任公司</t>
  </si>
  <si>
    <t>贵州华扬纸箱包装有限公司</t>
  </si>
  <si>
    <t>贵州鑫巴特门业有限公司</t>
  </si>
  <si>
    <t>客户5月8号付款完毕准备撤诉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</si>
</sst>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;@"/>
    <numFmt numFmtId="177" formatCode="#,##0.00_ "/>
    <numFmt numFmtId="178" formatCode="0.00_);[Red]\(0.00\)"/>
    <numFmt numFmtId="179" formatCode="_ * #,##0_ ;_ * \-#,##0_ ;_ 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2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8" applyNumberFormat="1" applyFont="1" applyAlignment="1">
      <alignment horizontal="left" vertical="center"/>
    </xf>
    <xf numFmtId="178" fontId="2" fillId="0" borderId="0" xfId="8" applyNumberFormat="1" applyFont="1" applyAlignment="1">
      <alignment horizontal="center" vertical="center"/>
    </xf>
    <xf numFmtId="177" fontId="2" fillId="0" borderId="0" xfId="8" applyNumberFormat="1" applyFont="1" applyAlignment="1">
      <alignment horizontal="center" vertical="center"/>
    </xf>
    <xf numFmtId="177" fontId="3" fillId="0" borderId="0" xfId="8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1" fillId="0" borderId="0" xfId="8" applyNumberFormat="1" applyFont="1" applyAlignment="1">
      <alignment horizontal="center" vertical="center"/>
    </xf>
    <xf numFmtId="177" fontId="1" fillId="0" borderId="1" xfId="8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8" applyNumberFormat="1" applyFont="1" applyBorder="1" applyAlignment="1">
      <alignment horizontal="left" vertical="center"/>
    </xf>
    <xf numFmtId="178" fontId="1" fillId="0" borderId="1" xfId="8" applyNumberFormat="1" applyFont="1" applyBorder="1" applyAlignment="1">
      <alignment horizontal="center" vertical="center"/>
    </xf>
    <xf numFmtId="178" fontId="1" fillId="0" borderId="1" xfId="8" applyNumberFormat="1" applyFont="1" applyBorder="1" applyAlignment="1">
      <alignment horizontal="center" vertical="center" wrapText="1"/>
    </xf>
    <xf numFmtId="178" fontId="1" fillId="0" borderId="1" xfId="8" applyNumberFormat="1" applyFont="1" applyFill="1" applyBorder="1" applyAlignment="1">
      <alignment horizontal="center" vertical="center" wrapText="1"/>
    </xf>
    <xf numFmtId="177" fontId="1" fillId="0" borderId="2" xfId="8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3" fontId="2" fillId="0" borderId="1" xfId="8" applyFont="1" applyBorder="1" applyAlignment="1">
      <alignment horizontal="left" vertical="center"/>
    </xf>
    <xf numFmtId="43" fontId="2" fillId="0" borderId="1" xfId="8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3" fontId="2" fillId="0" borderId="1" xfId="8" applyFont="1" applyFill="1" applyBorder="1" applyAlignment="1">
      <alignment horizontal="left" vertical="center"/>
    </xf>
    <xf numFmtId="43" fontId="2" fillId="0" borderId="1" xfId="8" applyFont="1" applyFill="1" applyBorder="1" applyAlignment="1">
      <alignment horizontal="center" vertical="center"/>
    </xf>
    <xf numFmtId="43" fontId="2" fillId="2" borderId="1" xfId="8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3" fontId="2" fillId="0" borderId="1" xfId="8" applyFont="1" applyBorder="1" applyAlignment="1">
      <alignment horizontal="left" vertical="center"/>
    </xf>
    <xf numFmtId="43" fontId="2" fillId="0" borderId="1" xfId="8" applyFont="1" applyBorder="1" applyAlignment="1">
      <alignment horizontal="center" vertical="center"/>
    </xf>
    <xf numFmtId="0" fontId="0" fillId="0" borderId="1" xfId="0" applyFill="1" applyBorder="1" applyAlignment="1"/>
    <xf numFmtId="0" fontId="0" fillId="0" borderId="0" xfId="0" applyFont="1" applyFill="1" applyAlignment="1">
      <alignment vertical="center" wrapText="1"/>
    </xf>
    <xf numFmtId="177" fontId="1" fillId="0" borderId="0" xfId="8" applyNumberFormat="1" applyFont="1" applyAlignment="1">
      <alignment horizontal="center" vertical="center"/>
    </xf>
    <xf numFmtId="177" fontId="5" fillId="0" borderId="0" xfId="8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3" borderId="1" xfId="8" applyNumberFormat="1" applyFont="1" applyFill="1" applyBorder="1" applyAlignment="1">
      <alignment horizontal="center" vertical="center"/>
    </xf>
    <xf numFmtId="177" fontId="5" fillId="3" borderId="1" xfId="8" applyNumberFormat="1" applyFont="1" applyFill="1" applyBorder="1" applyAlignment="1">
      <alignment horizontal="center" vertical="center"/>
    </xf>
    <xf numFmtId="43" fontId="4" fillId="0" borderId="1" xfId="8" applyFont="1" applyBorder="1" applyAlignment="1">
      <alignment horizontal="center" vertical="center"/>
    </xf>
    <xf numFmtId="43" fontId="3" fillId="2" borderId="1" xfId="8" applyFont="1" applyFill="1" applyBorder="1" applyAlignment="1">
      <alignment horizontal="center" vertical="center"/>
    </xf>
    <xf numFmtId="43" fontId="3" fillId="0" borderId="1" xfId="8" applyFont="1" applyBorder="1" applyAlignment="1">
      <alignment horizontal="center" vertical="center"/>
    </xf>
    <xf numFmtId="43" fontId="3" fillId="0" borderId="1" xfId="8" applyFont="1" applyBorder="1" applyAlignment="1">
      <alignment horizontal="center" vertical="center"/>
    </xf>
    <xf numFmtId="43" fontId="3" fillId="0" borderId="1" xfId="8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9" fontId="2" fillId="0" borderId="1" xfId="8" applyNumberFormat="1" applyFont="1" applyBorder="1" applyAlignment="1">
      <alignment horizontal="center" vertical="center"/>
    </xf>
    <xf numFmtId="179" fontId="2" fillId="0" borderId="1" xfId="8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43" fontId="2" fillId="0" borderId="1" xfId="8" applyFont="1" applyBorder="1" applyAlignment="1">
      <alignment horizontal="center" vertical="center" wrapText="1"/>
    </xf>
    <xf numFmtId="43" fontId="2" fillId="0" borderId="0" xfId="8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tabSelected="1" workbookViewId="0">
      <pane xSplit="2" ySplit="2" topLeftCell="G33" activePane="bottomRight" state="frozen"/>
      <selection/>
      <selection pane="topRight"/>
      <selection pane="bottomLeft"/>
      <selection pane="bottomRight" activeCell="J53" sqref="J53"/>
    </sheetView>
  </sheetViews>
  <sheetFormatPr defaultColWidth="5.18333333333333" defaultRowHeight="14.25"/>
  <cols>
    <col min="1" max="1" width="5.26666666666667" style="1" customWidth="1"/>
    <col min="2" max="2" width="26.4083333333333" style="2" customWidth="1"/>
    <col min="3" max="3" width="17.1833333333333" style="3" customWidth="1"/>
    <col min="4" max="4" width="12.1833333333333" style="4" customWidth="1"/>
    <col min="5" max="5" width="16.8166666666667" style="4" customWidth="1"/>
    <col min="6" max="6" width="13.75" style="4" customWidth="1"/>
    <col min="7" max="7" width="17.125" style="4" customWidth="1"/>
    <col min="8" max="8" width="14.525" style="5" customWidth="1"/>
    <col min="9" max="13" width="11.3666666666667" style="5" customWidth="1"/>
    <col min="14" max="14" width="16.2416666666667" style="5" customWidth="1"/>
    <col min="15" max="15" width="15.725" style="5" customWidth="1"/>
    <col min="16" max="16" width="18.2833333333333" style="6" customWidth="1"/>
    <col min="17" max="17" width="22.1833333333333" style="2" customWidth="1"/>
    <col min="18" max="18" width="21.0916666666667" style="7" customWidth="1"/>
    <col min="19" max="19" width="27.025" style="2" customWidth="1"/>
    <col min="20" max="20" width="31.45" style="8" customWidth="1"/>
    <col min="21" max="21" width="25.925" style="8" customWidth="1"/>
    <col min="22" max="22" width="20.3083333333333" style="8" customWidth="1"/>
    <col min="23" max="23" width="17.4916666666667" style="2" customWidth="1"/>
    <col min="24" max="16384" width="5.18333333333333" style="2"/>
  </cols>
  <sheetData>
    <row r="1" s="1" customFormat="1" ht="48" customHeight="1" spans="3:22">
      <c r="C1" s="9" t="s">
        <v>0</v>
      </c>
      <c r="D1" s="9"/>
      <c r="E1" s="9"/>
      <c r="F1" s="9"/>
      <c r="G1" s="9"/>
      <c r="H1" s="10" t="s">
        <v>1</v>
      </c>
      <c r="I1" s="10"/>
      <c r="J1" s="10"/>
      <c r="K1" s="10"/>
      <c r="L1" s="10"/>
      <c r="M1" s="10"/>
      <c r="N1" s="10"/>
      <c r="O1" s="34"/>
      <c r="P1" s="35"/>
      <c r="R1" s="44"/>
      <c r="T1" s="45"/>
      <c r="U1" s="45"/>
      <c r="V1" s="45"/>
    </row>
    <row r="2" s="1" customFormat="1" ht="42.75" spans="1:23">
      <c r="A2" s="11" t="s">
        <v>2</v>
      </c>
      <c r="B2" s="11" t="s">
        <v>3</v>
      </c>
      <c r="C2" s="12" t="s">
        <v>4</v>
      </c>
      <c r="D2" s="13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6" t="s">
        <v>10</v>
      </c>
      <c r="J2" s="16" t="s">
        <v>5</v>
      </c>
      <c r="K2" s="11" t="s">
        <v>11</v>
      </c>
      <c r="L2" s="11" t="s">
        <v>12</v>
      </c>
      <c r="M2" s="36" t="s">
        <v>13</v>
      </c>
      <c r="N2" s="16" t="s">
        <v>14</v>
      </c>
      <c r="O2" s="37" t="s">
        <v>15</v>
      </c>
      <c r="P2" s="38" t="s">
        <v>16</v>
      </c>
      <c r="Q2" s="11" t="s">
        <v>17</v>
      </c>
      <c r="R2" s="46" t="s">
        <v>18</v>
      </c>
      <c r="S2" s="11" t="s">
        <v>19</v>
      </c>
      <c r="T2" s="47" t="s">
        <v>20</v>
      </c>
      <c r="U2" s="47" t="s">
        <v>21</v>
      </c>
      <c r="V2" s="47" t="s">
        <v>22</v>
      </c>
      <c r="W2" s="11" t="s">
        <v>23</v>
      </c>
    </row>
    <row r="3" ht="48" customHeight="1" spans="1:23">
      <c r="A3" s="11">
        <f>ROW()-2</f>
        <v>1</v>
      </c>
      <c r="B3" s="17" t="s">
        <v>24</v>
      </c>
      <c r="C3" s="18">
        <v>203239.53</v>
      </c>
      <c r="D3" s="19">
        <v>9300</v>
      </c>
      <c r="E3" s="19">
        <v>40851.15</v>
      </c>
      <c r="F3" s="19">
        <v>30485.93</v>
      </c>
      <c r="G3" s="19">
        <f>SUM(C3:F3)</f>
        <v>283876.61</v>
      </c>
      <c r="H3" s="19">
        <v>203239.53</v>
      </c>
      <c r="I3" s="19">
        <v>10055.84</v>
      </c>
      <c r="J3" s="19">
        <v>9300</v>
      </c>
      <c r="K3" s="19">
        <v>2279</v>
      </c>
      <c r="L3" s="19">
        <v>1609</v>
      </c>
      <c r="M3" s="19">
        <v>0</v>
      </c>
      <c r="N3" s="19">
        <f>H3</f>
        <v>203239.53</v>
      </c>
      <c r="O3" s="39">
        <v>222595.37</v>
      </c>
      <c r="P3" s="40">
        <v>0</v>
      </c>
      <c r="Q3" s="48" t="s">
        <v>25</v>
      </c>
      <c r="R3" s="49">
        <v>44984</v>
      </c>
      <c r="S3" s="50" t="s">
        <v>26</v>
      </c>
      <c r="T3" s="17" t="s">
        <v>27</v>
      </c>
      <c r="U3" s="20"/>
      <c r="V3" s="20"/>
      <c r="W3" s="19"/>
    </row>
    <row r="4" ht="48" customHeight="1" spans="1:23">
      <c r="A4" s="11">
        <f t="shared" ref="A4:A37" si="0">ROW()-2</f>
        <v>2</v>
      </c>
      <c r="B4" s="17" t="s">
        <v>28</v>
      </c>
      <c r="C4" s="18">
        <v>25745.07</v>
      </c>
      <c r="D4" s="19">
        <v>3500</v>
      </c>
      <c r="E4" s="19">
        <v>16528.33</v>
      </c>
      <c r="F4" s="19">
        <v>3861.76</v>
      </c>
      <c r="G4" s="19">
        <f t="shared" ref="G4:G36" si="1">SUM(C4:F4)</f>
        <v>49635.16</v>
      </c>
      <c r="H4" s="19">
        <v>25745.07</v>
      </c>
      <c r="I4" s="19">
        <v>0</v>
      </c>
      <c r="J4" s="19">
        <v>0</v>
      </c>
      <c r="K4" s="19">
        <v>520.43</v>
      </c>
      <c r="L4" s="19">
        <v>516.35</v>
      </c>
      <c r="M4" s="19">
        <v>0</v>
      </c>
      <c r="N4" s="19">
        <f t="shared" ref="N4:N36" si="2">H4</f>
        <v>25745.07</v>
      </c>
      <c r="O4" s="19">
        <v>26781.85</v>
      </c>
      <c r="P4" s="40">
        <v>0</v>
      </c>
      <c r="Q4" s="48" t="s">
        <v>25</v>
      </c>
      <c r="R4" s="49">
        <v>45043</v>
      </c>
      <c r="S4" s="50" t="s">
        <v>29</v>
      </c>
      <c r="T4" s="17" t="s">
        <v>30</v>
      </c>
      <c r="U4" s="20"/>
      <c r="V4" s="20"/>
      <c r="W4" s="19"/>
    </row>
    <row r="5" ht="48" customHeight="1" spans="1:23">
      <c r="A5" s="11">
        <f t="shared" si="0"/>
        <v>3</v>
      </c>
      <c r="B5" s="17" t="s">
        <v>31</v>
      </c>
      <c r="C5" s="18">
        <v>85144.43</v>
      </c>
      <c r="D5" s="19">
        <v>0</v>
      </c>
      <c r="E5" s="19">
        <v>7424.12</v>
      </c>
      <c r="F5" s="19">
        <v>0</v>
      </c>
      <c r="G5" s="19">
        <f t="shared" si="1"/>
        <v>92568.55</v>
      </c>
      <c r="H5" s="19">
        <v>85144.43</v>
      </c>
      <c r="I5" s="19">
        <v>6286.44</v>
      </c>
      <c r="J5" s="19">
        <v>0</v>
      </c>
      <c r="K5" s="19">
        <v>1057</v>
      </c>
      <c r="L5" s="19">
        <v>0</v>
      </c>
      <c r="M5" s="19">
        <v>0</v>
      </c>
      <c r="N5" s="19">
        <f t="shared" si="2"/>
        <v>85144.43</v>
      </c>
      <c r="O5" s="19">
        <v>92487.87</v>
      </c>
      <c r="P5" s="40">
        <v>0</v>
      </c>
      <c r="Q5" s="48" t="s">
        <v>32</v>
      </c>
      <c r="R5" s="49">
        <v>45229</v>
      </c>
      <c r="S5" s="50" t="s">
        <v>26</v>
      </c>
      <c r="T5" s="17" t="s">
        <v>30</v>
      </c>
      <c r="U5" s="20"/>
      <c r="V5" s="20"/>
      <c r="W5" s="19"/>
    </row>
    <row r="6" ht="48" customHeight="1" spans="1:23">
      <c r="A6" s="11">
        <f t="shared" si="0"/>
        <v>4</v>
      </c>
      <c r="B6" s="17" t="s">
        <v>33</v>
      </c>
      <c r="C6" s="18">
        <v>130946.92</v>
      </c>
      <c r="D6" s="19">
        <v>14100</v>
      </c>
      <c r="E6" s="19">
        <v>75425.43</v>
      </c>
      <c r="F6" s="19">
        <v>0</v>
      </c>
      <c r="G6" s="19">
        <f t="shared" si="1"/>
        <v>220472.35</v>
      </c>
      <c r="H6" s="19">
        <v>130946.92</v>
      </c>
      <c r="I6" s="19">
        <v>14389.61</v>
      </c>
      <c r="J6" s="19">
        <v>7000</v>
      </c>
      <c r="K6" s="19">
        <v>0</v>
      </c>
      <c r="L6" s="19">
        <v>0</v>
      </c>
      <c r="M6" s="19">
        <v>0</v>
      </c>
      <c r="N6" s="19">
        <f t="shared" si="2"/>
        <v>130946.92</v>
      </c>
      <c r="O6" s="19">
        <v>147946.92</v>
      </c>
      <c r="P6" s="40">
        <v>0</v>
      </c>
      <c r="Q6" s="48" t="s">
        <v>25</v>
      </c>
      <c r="R6" s="49">
        <v>45162</v>
      </c>
      <c r="S6" s="51" t="s">
        <v>34</v>
      </c>
      <c r="T6" s="17" t="s">
        <v>35</v>
      </c>
      <c r="U6" s="20"/>
      <c r="V6" s="20"/>
      <c r="W6" s="19"/>
    </row>
    <row r="7" ht="48" customHeight="1" spans="1:23">
      <c r="A7" s="11">
        <f t="shared" si="0"/>
        <v>5</v>
      </c>
      <c r="B7" s="17" t="s">
        <v>36</v>
      </c>
      <c r="C7" s="18">
        <v>84691.76</v>
      </c>
      <c r="D7" s="19">
        <v>11200</v>
      </c>
      <c r="E7" s="19">
        <v>90450.8</v>
      </c>
      <c r="F7" s="19">
        <v>0</v>
      </c>
      <c r="G7" s="19">
        <f t="shared" si="1"/>
        <v>186342.56</v>
      </c>
      <c r="H7" s="19">
        <v>84691.76</v>
      </c>
      <c r="I7" s="19">
        <v>14859.64</v>
      </c>
      <c r="J7" s="19">
        <v>6000</v>
      </c>
      <c r="K7" s="19">
        <v>0</v>
      </c>
      <c r="L7" s="19">
        <v>0</v>
      </c>
      <c r="M7" s="19">
        <v>0</v>
      </c>
      <c r="N7" s="19">
        <f t="shared" si="2"/>
        <v>84691.76</v>
      </c>
      <c r="O7" s="19">
        <v>116174.42</v>
      </c>
      <c r="P7" s="40">
        <v>0</v>
      </c>
      <c r="Q7" s="48" t="s">
        <v>25</v>
      </c>
      <c r="R7" s="49">
        <v>45196</v>
      </c>
      <c r="S7" s="51" t="s">
        <v>34</v>
      </c>
      <c r="T7" s="17" t="s">
        <v>37</v>
      </c>
      <c r="U7" s="20"/>
      <c r="V7" s="20"/>
      <c r="W7" s="19"/>
    </row>
    <row r="8" ht="48" customHeight="1" spans="1:23">
      <c r="A8" s="11">
        <f t="shared" si="0"/>
        <v>6</v>
      </c>
      <c r="B8" s="17" t="s">
        <v>38</v>
      </c>
      <c r="C8" s="18">
        <v>274658.25</v>
      </c>
      <c r="D8" s="19">
        <v>22700</v>
      </c>
      <c r="E8" s="19">
        <v>134307.88</v>
      </c>
      <c r="F8" s="19">
        <v>0</v>
      </c>
      <c r="G8" s="19">
        <f t="shared" si="1"/>
        <v>431666.13</v>
      </c>
      <c r="H8" s="19">
        <v>274658.25</v>
      </c>
      <c r="I8" s="19">
        <v>24532.68</v>
      </c>
      <c r="J8" s="19">
        <v>11000</v>
      </c>
      <c r="K8" s="19">
        <v>0</v>
      </c>
      <c r="L8" s="19">
        <v>0</v>
      </c>
      <c r="M8" s="19">
        <v>0</v>
      </c>
      <c r="N8" s="19">
        <f t="shared" si="2"/>
        <v>274658.25</v>
      </c>
      <c r="O8" s="19">
        <v>310190.93</v>
      </c>
      <c r="P8" s="40">
        <v>0</v>
      </c>
      <c r="Q8" s="48" t="s">
        <v>25</v>
      </c>
      <c r="R8" s="49">
        <v>45196</v>
      </c>
      <c r="S8" s="51" t="s">
        <v>34</v>
      </c>
      <c r="T8" s="17" t="s">
        <v>37</v>
      </c>
      <c r="U8" s="20"/>
      <c r="V8" s="20"/>
      <c r="W8" s="19"/>
    </row>
    <row r="9" ht="71.25" spans="1:23">
      <c r="A9" s="11">
        <f t="shared" si="0"/>
        <v>7</v>
      </c>
      <c r="B9" s="20" t="s">
        <v>39</v>
      </c>
      <c r="C9" s="18">
        <v>630428.19</v>
      </c>
      <c r="D9" s="19">
        <v>42800</v>
      </c>
      <c r="E9" s="19">
        <v>313953.24</v>
      </c>
      <c r="F9" s="19">
        <v>0</v>
      </c>
      <c r="G9" s="19">
        <f t="shared" si="1"/>
        <v>987181.43</v>
      </c>
      <c r="H9" s="19">
        <v>630428.19</v>
      </c>
      <c r="I9" s="19">
        <v>25133.07</v>
      </c>
      <c r="J9" s="19">
        <v>42800</v>
      </c>
      <c r="K9" s="19">
        <v>13672</v>
      </c>
      <c r="L9" s="19">
        <v>5000</v>
      </c>
      <c r="M9" s="19">
        <v>0</v>
      </c>
      <c r="N9" s="19">
        <f t="shared" si="2"/>
        <v>630428.19</v>
      </c>
      <c r="O9" s="19">
        <v>13794.22</v>
      </c>
      <c r="P9" s="41">
        <f t="shared" ref="P9:P14" si="3">N9-O9</f>
        <v>616633.97</v>
      </c>
      <c r="Q9" s="48" t="s">
        <v>25</v>
      </c>
      <c r="R9" s="49">
        <v>45280</v>
      </c>
      <c r="S9" s="50" t="s">
        <v>26</v>
      </c>
      <c r="T9" s="52" t="s">
        <v>40</v>
      </c>
      <c r="U9" s="20" t="s">
        <v>41</v>
      </c>
      <c r="V9" s="20" t="s">
        <v>42</v>
      </c>
      <c r="W9" s="19">
        <v>0</v>
      </c>
    </row>
    <row r="10" ht="142" customHeight="1" spans="1:23">
      <c r="A10" s="11">
        <f t="shared" si="0"/>
        <v>8</v>
      </c>
      <c r="B10" s="21" t="s">
        <v>43</v>
      </c>
      <c r="C10" s="18">
        <v>269026</v>
      </c>
      <c r="D10" s="19">
        <v>22400</v>
      </c>
      <c r="E10" s="19">
        <v>75058.25</v>
      </c>
      <c r="F10" s="19">
        <v>0</v>
      </c>
      <c r="G10" s="19">
        <f t="shared" si="1"/>
        <v>366484.25</v>
      </c>
      <c r="H10" s="19">
        <v>269026</v>
      </c>
      <c r="I10" s="19">
        <v>12065.82</v>
      </c>
      <c r="J10" s="19">
        <v>22400</v>
      </c>
      <c r="K10" s="19">
        <v>3399</v>
      </c>
      <c r="L10" s="19">
        <v>2120</v>
      </c>
      <c r="M10" s="19">
        <v>200</v>
      </c>
      <c r="N10" s="19">
        <f t="shared" si="2"/>
        <v>269026</v>
      </c>
      <c r="O10" s="19">
        <v>0</v>
      </c>
      <c r="P10" s="41">
        <f t="shared" si="3"/>
        <v>269026</v>
      </c>
      <c r="Q10" s="48" t="s">
        <v>25</v>
      </c>
      <c r="R10" s="49">
        <v>45446</v>
      </c>
      <c r="S10" s="50" t="s">
        <v>26</v>
      </c>
      <c r="T10" s="20" t="s">
        <v>44</v>
      </c>
      <c r="U10" s="20" t="s">
        <v>45</v>
      </c>
      <c r="V10" s="20" t="s">
        <v>46</v>
      </c>
      <c r="W10" s="19" t="s">
        <v>47</v>
      </c>
    </row>
    <row r="11" ht="71.25" spans="1:23">
      <c r="A11" s="11">
        <f t="shared" si="0"/>
        <v>9</v>
      </c>
      <c r="B11" s="21" t="s">
        <v>48</v>
      </c>
      <c r="C11" s="18">
        <v>342725.96</v>
      </c>
      <c r="D11" s="19">
        <v>26800</v>
      </c>
      <c r="E11" s="19">
        <v>169649.35</v>
      </c>
      <c r="F11" s="19">
        <v>0</v>
      </c>
      <c r="G11" s="19">
        <f t="shared" si="1"/>
        <v>539175.31</v>
      </c>
      <c r="H11" s="19">
        <v>342725.96</v>
      </c>
      <c r="I11" s="19">
        <v>26604.1</v>
      </c>
      <c r="J11" s="19">
        <v>26800</v>
      </c>
      <c r="K11" s="19">
        <v>4596</v>
      </c>
      <c r="L11" s="19">
        <v>3216</v>
      </c>
      <c r="M11" s="19">
        <v>0</v>
      </c>
      <c r="N11" s="19">
        <f t="shared" si="2"/>
        <v>342725.96</v>
      </c>
      <c r="O11" s="19">
        <v>44395.45</v>
      </c>
      <c r="P11" s="41">
        <f t="shared" si="3"/>
        <v>298330.51</v>
      </c>
      <c r="Q11" s="48" t="s">
        <v>25</v>
      </c>
      <c r="R11" s="49">
        <v>45469</v>
      </c>
      <c r="S11" s="50" t="s">
        <v>26</v>
      </c>
      <c r="T11" s="52" t="s">
        <v>49</v>
      </c>
      <c r="U11" s="20" t="s">
        <v>50</v>
      </c>
      <c r="V11" s="20" t="s">
        <v>51</v>
      </c>
      <c r="W11" s="19">
        <v>200000</v>
      </c>
    </row>
    <row r="12" ht="142.5" spans="1:23">
      <c r="A12" s="11">
        <f t="shared" si="0"/>
        <v>10</v>
      </c>
      <c r="B12" s="22" t="s">
        <v>52</v>
      </c>
      <c r="C12" s="18">
        <v>504925.17</v>
      </c>
      <c r="D12" s="19">
        <v>36500</v>
      </c>
      <c r="E12" s="19">
        <v>49482.67</v>
      </c>
      <c r="F12" s="19">
        <v>75738.77</v>
      </c>
      <c r="G12" s="19">
        <f t="shared" si="1"/>
        <v>666646.61</v>
      </c>
      <c r="H12" s="19">
        <v>504925.17</v>
      </c>
      <c r="I12" s="19">
        <v>93738.77</v>
      </c>
      <c r="J12" s="19">
        <v>18000</v>
      </c>
      <c r="K12" s="19">
        <v>5233</v>
      </c>
      <c r="L12" s="19">
        <v>3823</v>
      </c>
      <c r="M12" s="19">
        <v>0</v>
      </c>
      <c r="N12" s="19">
        <f t="shared" si="2"/>
        <v>504925.17</v>
      </c>
      <c r="O12" s="26">
        <v>394135.62</v>
      </c>
      <c r="P12" s="41">
        <f t="shared" si="3"/>
        <v>110789.55</v>
      </c>
      <c r="Q12" s="48" t="s">
        <v>25</v>
      </c>
      <c r="R12" s="49">
        <v>45385</v>
      </c>
      <c r="S12" s="50" t="s">
        <v>26</v>
      </c>
      <c r="T12" s="53" t="s">
        <v>53</v>
      </c>
      <c r="U12" s="20" t="s">
        <v>54</v>
      </c>
      <c r="V12" s="20" t="s">
        <v>42</v>
      </c>
      <c r="W12" s="19"/>
    </row>
    <row r="13" ht="71.25" spans="1:23">
      <c r="A13" s="11">
        <f t="shared" si="0"/>
        <v>11</v>
      </c>
      <c r="B13" s="21" t="s">
        <v>55</v>
      </c>
      <c r="C13" s="18">
        <v>183468.25</v>
      </c>
      <c r="D13" s="19">
        <v>0</v>
      </c>
      <c r="E13" s="19">
        <v>18651.59</v>
      </c>
      <c r="F13" s="19">
        <v>0</v>
      </c>
      <c r="G13" s="19">
        <f t="shared" si="1"/>
        <v>202119.84</v>
      </c>
      <c r="H13" s="19">
        <v>183468.25</v>
      </c>
      <c r="I13" s="19">
        <v>25262.56</v>
      </c>
      <c r="J13" s="19">
        <v>8650</v>
      </c>
      <c r="K13" s="19">
        <v>2166</v>
      </c>
      <c r="L13" s="19">
        <v>0</v>
      </c>
      <c r="M13" s="19">
        <v>0</v>
      </c>
      <c r="N13" s="19">
        <f t="shared" si="2"/>
        <v>183468.25</v>
      </c>
      <c r="O13" s="19">
        <v>11303.97</v>
      </c>
      <c r="P13" s="41">
        <f t="shared" si="3"/>
        <v>172164.28</v>
      </c>
      <c r="Q13" s="48" t="s">
        <v>32</v>
      </c>
      <c r="R13" s="49">
        <v>45428</v>
      </c>
      <c r="S13" s="50" t="s">
        <v>29</v>
      </c>
      <c r="T13" s="20" t="s">
        <v>56</v>
      </c>
      <c r="U13" s="20" t="s">
        <v>57</v>
      </c>
      <c r="V13" s="20" t="s">
        <v>58</v>
      </c>
      <c r="W13" s="19">
        <v>50000</v>
      </c>
    </row>
    <row r="14" ht="85.5" spans="1:23">
      <c r="A14" s="11">
        <f t="shared" si="0"/>
        <v>12</v>
      </c>
      <c r="B14" s="21" t="s">
        <v>59</v>
      </c>
      <c r="C14" s="18">
        <v>356704.97</v>
      </c>
      <c r="D14" s="19">
        <v>27700</v>
      </c>
      <c r="E14" s="19">
        <v>122685.55</v>
      </c>
      <c r="F14" s="19">
        <v>0</v>
      </c>
      <c r="G14" s="19">
        <f t="shared" si="1"/>
        <v>507090.52</v>
      </c>
      <c r="H14" s="19">
        <v>356704.97</v>
      </c>
      <c r="I14" s="19">
        <v>82932.92</v>
      </c>
      <c r="J14" s="19">
        <v>22700</v>
      </c>
      <c r="K14" s="19">
        <v>4435</v>
      </c>
      <c r="L14" s="19">
        <v>0</v>
      </c>
      <c r="M14" s="19">
        <v>0</v>
      </c>
      <c r="N14" s="19">
        <f t="shared" si="2"/>
        <v>356704.97</v>
      </c>
      <c r="O14" s="19">
        <v>0</v>
      </c>
      <c r="P14" s="41">
        <f t="shared" si="3"/>
        <v>356704.97</v>
      </c>
      <c r="Q14" s="48" t="s">
        <v>25</v>
      </c>
      <c r="R14" s="49" t="s">
        <v>60</v>
      </c>
      <c r="S14" s="50" t="s">
        <v>26</v>
      </c>
      <c r="T14" s="20" t="s">
        <v>61</v>
      </c>
      <c r="U14" s="20" t="s">
        <v>62</v>
      </c>
      <c r="V14" s="20" t="s">
        <v>63</v>
      </c>
      <c r="W14" s="19">
        <v>200000</v>
      </c>
    </row>
    <row r="15" ht="28.5" spans="1:23">
      <c r="A15" s="11">
        <f t="shared" si="0"/>
        <v>13</v>
      </c>
      <c r="B15" s="23" t="s">
        <v>64</v>
      </c>
      <c r="C15" s="18">
        <v>53107.75</v>
      </c>
      <c r="D15" s="19">
        <v>9017</v>
      </c>
      <c r="E15" s="19">
        <v>5425.54</v>
      </c>
      <c r="F15" s="19">
        <v>7966</v>
      </c>
      <c r="G15" s="19">
        <f t="shared" si="1"/>
        <v>75516.29</v>
      </c>
      <c r="H15" s="19">
        <v>53107.75</v>
      </c>
      <c r="I15" s="19">
        <v>1302.91</v>
      </c>
      <c r="J15" s="19">
        <v>9017</v>
      </c>
      <c r="K15" s="19">
        <v>844</v>
      </c>
      <c r="L15" s="19">
        <v>775</v>
      </c>
      <c r="M15" s="19">
        <v>0</v>
      </c>
      <c r="N15" s="19">
        <f t="shared" si="2"/>
        <v>53107.75</v>
      </c>
      <c r="O15" s="19">
        <v>65046.66</v>
      </c>
      <c r="P15" s="40">
        <v>0</v>
      </c>
      <c r="Q15" s="48" t="s">
        <v>25</v>
      </c>
      <c r="R15" s="49">
        <v>45461</v>
      </c>
      <c r="S15" s="50" t="s">
        <v>26</v>
      </c>
      <c r="T15" s="17" t="s">
        <v>65</v>
      </c>
      <c r="U15" s="20"/>
      <c r="V15" s="20"/>
      <c r="W15" s="19"/>
    </row>
    <row r="16" ht="57" spans="1:23">
      <c r="A16" s="11">
        <f t="shared" si="0"/>
        <v>14</v>
      </c>
      <c r="B16" s="21" t="s">
        <v>66</v>
      </c>
      <c r="C16" s="18">
        <v>173337.76</v>
      </c>
      <c r="D16" s="19">
        <v>16700</v>
      </c>
      <c r="E16" s="19">
        <v>11295.14</v>
      </c>
      <c r="F16" s="19">
        <v>26000.66</v>
      </c>
      <c r="G16" s="19">
        <f t="shared" si="1"/>
        <v>227333.56</v>
      </c>
      <c r="H16" s="19">
        <v>173337.76</v>
      </c>
      <c r="I16" s="19">
        <v>3272.47</v>
      </c>
      <c r="J16" s="19">
        <v>16700</v>
      </c>
      <c r="K16" s="19">
        <v>2355</v>
      </c>
      <c r="L16" s="19">
        <v>1657</v>
      </c>
      <c r="M16" s="19">
        <v>0</v>
      </c>
      <c r="N16" s="19">
        <f t="shared" si="2"/>
        <v>173337.76</v>
      </c>
      <c r="O16" s="19">
        <v>47872.5</v>
      </c>
      <c r="P16" s="41">
        <f>N16-O16</f>
        <v>125465.26</v>
      </c>
      <c r="Q16" s="48" t="s">
        <v>25</v>
      </c>
      <c r="R16" s="49">
        <v>45467</v>
      </c>
      <c r="S16" s="50" t="s">
        <v>26</v>
      </c>
      <c r="T16" s="20" t="s">
        <v>67</v>
      </c>
      <c r="U16" s="20" t="s">
        <v>68</v>
      </c>
      <c r="V16" s="20" t="s">
        <v>69</v>
      </c>
      <c r="W16" s="19">
        <v>125465.26</v>
      </c>
    </row>
    <row r="17" ht="28.5" spans="1:23">
      <c r="A17" s="11">
        <f t="shared" si="0"/>
        <v>15</v>
      </c>
      <c r="B17" s="23" t="s">
        <v>70</v>
      </c>
      <c r="C17" s="18">
        <v>240889.1</v>
      </c>
      <c r="D17" s="19">
        <v>0</v>
      </c>
      <c r="E17" s="19">
        <v>0</v>
      </c>
      <c r="F17" s="19">
        <v>0</v>
      </c>
      <c r="G17" s="19">
        <f t="shared" si="1"/>
        <v>240889.1</v>
      </c>
      <c r="H17" s="19">
        <v>240889.1</v>
      </c>
      <c r="I17" s="19">
        <v>0</v>
      </c>
      <c r="J17" s="19">
        <v>0</v>
      </c>
      <c r="K17" s="19">
        <v>2457</v>
      </c>
      <c r="L17" s="19">
        <v>1724.45</v>
      </c>
      <c r="M17" s="19">
        <v>0</v>
      </c>
      <c r="N17" s="19">
        <f t="shared" si="2"/>
        <v>240889.1</v>
      </c>
      <c r="O17" s="19">
        <v>245570.55</v>
      </c>
      <c r="P17" s="40">
        <v>0</v>
      </c>
      <c r="Q17" s="48" t="s">
        <v>71</v>
      </c>
      <c r="R17" s="49">
        <v>45470</v>
      </c>
      <c r="S17" s="50" t="s">
        <v>29</v>
      </c>
      <c r="T17" s="17" t="s">
        <v>72</v>
      </c>
      <c r="U17" s="20"/>
      <c r="V17" s="20"/>
      <c r="W17" s="19"/>
    </row>
    <row r="18" ht="71.25" spans="1:23">
      <c r="A18" s="11">
        <f t="shared" si="0"/>
        <v>16</v>
      </c>
      <c r="B18" s="21" t="s">
        <v>73</v>
      </c>
      <c r="C18" s="18">
        <v>64933.89</v>
      </c>
      <c r="D18" s="19">
        <v>0</v>
      </c>
      <c r="E18" s="19">
        <v>12823.73</v>
      </c>
      <c r="F18" s="19">
        <v>0</v>
      </c>
      <c r="G18" s="19">
        <f t="shared" si="1"/>
        <v>77757.62</v>
      </c>
      <c r="H18" s="19">
        <v>64933.89</v>
      </c>
      <c r="I18" s="19">
        <v>14955.71</v>
      </c>
      <c r="J18" s="19">
        <v>10700</v>
      </c>
      <c r="K18" s="19">
        <v>1032</v>
      </c>
      <c r="L18" s="19">
        <v>798</v>
      </c>
      <c r="M18" s="19">
        <v>0</v>
      </c>
      <c r="N18" s="19">
        <f t="shared" si="2"/>
        <v>64933.89</v>
      </c>
      <c r="O18" s="19">
        <v>0</v>
      </c>
      <c r="P18" s="41">
        <f>N18-O18</f>
        <v>64933.89</v>
      </c>
      <c r="Q18" s="48" t="s">
        <v>25</v>
      </c>
      <c r="R18" s="49">
        <v>45656</v>
      </c>
      <c r="S18" s="50" t="s">
        <v>26</v>
      </c>
      <c r="T18" s="20" t="s">
        <v>74</v>
      </c>
      <c r="U18" s="20" t="s">
        <v>75</v>
      </c>
      <c r="V18" s="20" t="s">
        <v>42</v>
      </c>
      <c r="W18" s="19">
        <v>10000</v>
      </c>
    </row>
    <row r="19" ht="57" spans="1:23">
      <c r="A19" s="11">
        <f t="shared" si="0"/>
        <v>17</v>
      </c>
      <c r="B19" s="21" t="s">
        <v>76</v>
      </c>
      <c r="C19" s="18">
        <v>314360.45</v>
      </c>
      <c r="D19" s="19">
        <v>25000</v>
      </c>
      <c r="E19" s="19">
        <v>13978.56</v>
      </c>
      <c r="F19" s="19">
        <v>0</v>
      </c>
      <c r="G19" s="19">
        <f t="shared" si="1"/>
        <v>353339.01</v>
      </c>
      <c r="H19" s="19">
        <v>314360.45</v>
      </c>
      <c r="I19" s="19">
        <v>7501.43</v>
      </c>
      <c r="J19" s="19">
        <v>25000</v>
      </c>
      <c r="K19" s="19">
        <v>3300</v>
      </c>
      <c r="L19" s="19">
        <v>2287</v>
      </c>
      <c r="M19" s="19">
        <v>0</v>
      </c>
      <c r="N19" s="19">
        <f t="shared" si="2"/>
        <v>314360.45</v>
      </c>
      <c r="O19" s="19">
        <v>330</v>
      </c>
      <c r="P19" s="41">
        <f>N19-O19</f>
        <v>314030.45</v>
      </c>
      <c r="Q19" s="48" t="s">
        <v>25</v>
      </c>
      <c r="R19" s="49">
        <v>45554</v>
      </c>
      <c r="S19" s="50" t="s">
        <v>26</v>
      </c>
      <c r="T19" s="20" t="s">
        <v>77</v>
      </c>
      <c r="U19" s="20" t="s">
        <v>78</v>
      </c>
      <c r="V19" s="20" t="s">
        <v>42</v>
      </c>
      <c r="W19" s="19">
        <v>0</v>
      </c>
    </row>
    <row r="20" ht="40" customHeight="1" spans="1:23">
      <c r="A20" s="11">
        <f t="shared" si="0"/>
        <v>18</v>
      </c>
      <c r="B20" s="21" t="s">
        <v>79</v>
      </c>
      <c r="C20" s="18">
        <v>114284.13</v>
      </c>
      <c r="D20" s="19">
        <v>13000</v>
      </c>
      <c r="E20" s="19">
        <v>39637.54</v>
      </c>
      <c r="F20" s="19">
        <v>0</v>
      </c>
      <c r="G20" s="19">
        <f t="shared" si="1"/>
        <v>166921.67</v>
      </c>
      <c r="H20" s="19">
        <v>114284.13</v>
      </c>
      <c r="I20" s="19">
        <v>10908.42</v>
      </c>
      <c r="J20" s="19">
        <v>13000</v>
      </c>
      <c r="K20" s="19">
        <v>1819</v>
      </c>
      <c r="L20" s="19">
        <v>1355</v>
      </c>
      <c r="M20" s="19">
        <v>0</v>
      </c>
      <c r="N20" s="19">
        <f t="shared" si="2"/>
        <v>114284.13</v>
      </c>
      <c r="O20" s="19">
        <v>2844</v>
      </c>
      <c r="P20" s="41">
        <f>N20-O20</f>
        <v>111440.13</v>
      </c>
      <c r="Q20" s="48" t="s">
        <v>25</v>
      </c>
      <c r="R20" s="49">
        <v>45575</v>
      </c>
      <c r="S20" s="50" t="s">
        <v>26</v>
      </c>
      <c r="T20" s="20" t="s">
        <v>80</v>
      </c>
      <c r="U20" s="20" t="s">
        <v>81</v>
      </c>
      <c r="V20" s="20" t="s">
        <v>42</v>
      </c>
      <c r="W20" s="19">
        <v>0</v>
      </c>
    </row>
    <row r="21" ht="40" customHeight="1" spans="1:23">
      <c r="A21" s="24">
        <f t="shared" si="0"/>
        <v>19</v>
      </c>
      <c r="B21" s="23" t="s">
        <v>82</v>
      </c>
      <c r="C21" s="18">
        <v>10391.17</v>
      </c>
      <c r="D21" s="19">
        <v>6000</v>
      </c>
      <c r="E21" s="19">
        <v>1924.33</v>
      </c>
      <c r="F21" s="19">
        <v>0</v>
      </c>
      <c r="G21" s="19">
        <f t="shared" si="1"/>
        <v>18315.5</v>
      </c>
      <c r="H21" s="19">
        <v>0</v>
      </c>
      <c r="I21" s="19">
        <v>0</v>
      </c>
      <c r="J21" s="19">
        <v>0</v>
      </c>
      <c r="K21" s="19">
        <v>129</v>
      </c>
      <c r="L21" s="19">
        <v>203</v>
      </c>
      <c r="M21" s="19">
        <v>0</v>
      </c>
      <c r="N21" s="19">
        <v>10391.17</v>
      </c>
      <c r="O21" s="19">
        <v>0</v>
      </c>
      <c r="P21" s="41">
        <v>0</v>
      </c>
      <c r="Q21" s="48" t="s">
        <v>25</v>
      </c>
      <c r="R21" s="49">
        <v>45579</v>
      </c>
      <c r="S21" s="50" t="s">
        <v>83</v>
      </c>
      <c r="T21" s="20" t="s">
        <v>84</v>
      </c>
      <c r="U21" s="20"/>
      <c r="V21" s="20"/>
      <c r="W21" s="19"/>
    </row>
    <row r="22" ht="40" customHeight="1" spans="1:23">
      <c r="A22" s="11">
        <f t="shared" si="0"/>
        <v>20</v>
      </c>
      <c r="B22" s="23" t="s">
        <v>85</v>
      </c>
      <c r="C22" s="25">
        <v>210909.6</v>
      </c>
      <c r="D22" s="26">
        <v>18900</v>
      </c>
      <c r="E22" s="26">
        <v>21424.9</v>
      </c>
      <c r="F22" s="26">
        <v>0</v>
      </c>
      <c r="G22" s="19">
        <f t="shared" si="1"/>
        <v>251234.5</v>
      </c>
      <c r="H22" s="27">
        <v>210909.6</v>
      </c>
      <c r="I22" s="27">
        <v>10353.4</v>
      </c>
      <c r="J22" s="27">
        <v>18900</v>
      </c>
      <c r="K22" s="27">
        <v>2534</v>
      </c>
      <c r="L22" s="27">
        <v>1776</v>
      </c>
      <c r="M22" s="27">
        <v>0</v>
      </c>
      <c r="N22" s="19">
        <f t="shared" si="2"/>
        <v>210909.6</v>
      </c>
      <c r="O22" s="19">
        <v>244473</v>
      </c>
      <c r="P22" s="40">
        <v>0</v>
      </c>
      <c r="Q22" s="48" t="s">
        <v>25</v>
      </c>
      <c r="R22" s="49">
        <v>45541</v>
      </c>
      <c r="S22" s="50" t="s">
        <v>26</v>
      </c>
      <c r="T22" s="17" t="s">
        <v>86</v>
      </c>
      <c r="U22" s="20"/>
      <c r="V22" s="20"/>
      <c r="W22" s="19"/>
    </row>
    <row r="23" ht="40" customHeight="1" spans="1:23">
      <c r="A23" s="11">
        <f t="shared" si="0"/>
        <v>21</v>
      </c>
      <c r="B23" s="23" t="s">
        <v>87</v>
      </c>
      <c r="C23" s="18">
        <v>112172.18</v>
      </c>
      <c r="D23" s="19">
        <v>13000</v>
      </c>
      <c r="E23" s="19">
        <v>7996.21</v>
      </c>
      <c r="F23" s="19">
        <v>0</v>
      </c>
      <c r="G23" s="19">
        <f t="shared" si="1"/>
        <v>133168.39</v>
      </c>
      <c r="H23" s="19">
        <v>112172.18</v>
      </c>
      <c r="I23" s="19">
        <v>14212.82</v>
      </c>
      <c r="J23" s="19">
        <v>13000</v>
      </c>
      <c r="K23" s="19">
        <v>1482</v>
      </c>
      <c r="L23" s="19">
        <v>1186</v>
      </c>
      <c r="M23" s="19">
        <v>0</v>
      </c>
      <c r="N23" s="19">
        <f t="shared" si="2"/>
        <v>112172.18</v>
      </c>
      <c r="O23" s="19">
        <v>142053</v>
      </c>
      <c r="P23" s="40">
        <v>0</v>
      </c>
      <c r="Q23" s="48" t="s">
        <v>25</v>
      </c>
      <c r="R23" s="49">
        <v>45858</v>
      </c>
      <c r="S23" s="50" t="s">
        <v>26</v>
      </c>
      <c r="T23" s="17" t="s">
        <v>88</v>
      </c>
      <c r="U23" s="20"/>
      <c r="V23" s="20"/>
      <c r="W23" s="19"/>
    </row>
    <row r="24" ht="40" customHeight="1" spans="1:23">
      <c r="A24" s="11">
        <f t="shared" si="0"/>
        <v>22</v>
      </c>
      <c r="B24" s="21" t="s">
        <v>89</v>
      </c>
      <c r="C24" s="18">
        <v>181803.06</v>
      </c>
      <c r="D24" s="19">
        <v>6000</v>
      </c>
      <c r="E24" s="19">
        <v>52465.32</v>
      </c>
      <c r="F24" s="19">
        <v>0</v>
      </c>
      <c r="G24" s="19">
        <f t="shared" si="1"/>
        <v>240268.38</v>
      </c>
      <c r="H24" s="27">
        <v>181803.06</v>
      </c>
      <c r="I24" s="27">
        <v>0</v>
      </c>
      <c r="J24" s="27">
        <v>6000</v>
      </c>
      <c r="K24" s="27">
        <v>2407</v>
      </c>
      <c r="L24" s="27">
        <v>1112.47</v>
      </c>
      <c r="M24" s="27">
        <v>0</v>
      </c>
      <c r="N24" s="19">
        <f t="shared" si="2"/>
        <v>181803.06</v>
      </c>
      <c r="O24" s="19">
        <v>100000</v>
      </c>
      <c r="P24" s="40">
        <f>N24-O24</f>
        <v>81803.06</v>
      </c>
      <c r="Q24" s="48" t="s">
        <v>71</v>
      </c>
      <c r="R24" s="49">
        <v>45558</v>
      </c>
      <c r="S24" s="50" t="s">
        <v>29</v>
      </c>
      <c r="T24" s="20" t="s">
        <v>90</v>
      </c>
      <c r="U24" s="20" t="s">
        <v>91</v>
      </c>
      <c r="V24" s="20" t="s">
        <v>42</v>
      </c>
      <c r="W24" s="19">
        <v>0</v>
      </c>
    </row>
    <row r="25" ht="40" customHeight="1" spans="1:23">
      <c r="A25" s="11">
        <f t="shared" si="0"/>
        <v>23</v>
      </c>
      <c r="B25" s="23" t="s">
        <v>92</v>
      </c>
      <c r="C25" s="18">
        <v>56901</v>
      </c>
      <c r="D25" s="19">
        <v>4600</v>
      </c>
      <c r="E25" s="19">
        <v>9605.84</v>
      </c>
      <c r="F25" s="19">
        <v>0</v>
      </c>
      <c r="G25" s="19">
        <f t="shared" si="1"/>
        <v>71106.84</v>
      </c>
      <c r="H25" s="19">
        <v>56901</v>
      </c>
      <c r="I25" s="19">
        <v>1186.03</v>
      </c>
      <c r="J25" s="19">
        <v>0</v>
      </c>
      <c r="K25" s="19">
        <v>639.09</v>
      </c>
      <c r="L25" s="19">
        <v>592.11</v>
      </c>
      <c r="M25" s="19">
        <v>0</v>
      </c>
      <c r="N25" s="19">
        <f t="shared" si="2"/>
        <v>56901</v>
      </c>
      <c r="O25" s="19">
        <v>59794.26</v>
      </c>
      <c r="P25" s="40">
        <v>0</v>
      </c>
      <c r="Q25" s="48" t="s">
        <v>93</v>
      </c>
      <c r="R25" s="49">
        <v>45632</v>
      </c>
      <c r="S25" s="50" t="s">
        <v>26</v>
      </c>
      <c r="T25" s="17" t="s">
        <v>86</v>
      </c>
      <c r="U25" s="20"/>
      <c r="V25" s="20"/>
      <c r="W25" s="19"/>
    </row>
    <row r="26" ht="99.75" spans="1:23">
      <c r="A26" s="11">
        <f t="shared" si="0"/>
        <v>24</v>
      </c>
      <c r="B26" s="21" t="s">
        <v>94</v>
      </c>
      <c r="C26" s="18">
        <v>168844.93</v>
      </c>
      <c r="D26" s="19">
        <v>16400</v>
      </c>
      <c r="E26" s="19">
        <v>20841.09</v>
      </c>
      <c r="F26" s="19">
        <v>25326.73</v>
      </c>
      <c r="G26" s="19">
        <f t="shared" si="1"/>
        <v>231412.75</v>
      </c>
      <c r="H26" s="19">
        <v>168844.93</v>
      </c>
      <c r="I26" s="19">
        <v>11286.23</v>
      </c>
      <c r="J26" s="19">
        <v>16400</v>
      </c>
      <c r="K26" s="19">
        <v>2386</v>
      </c>
      <c r="L26" s="19">
        <v>1677</v>
      </c>
      <c r="M26" s="19">
        <v>0</v>
      </c>
      <c r="N26" s="19">
        <f t="shared" si="2"/>
        <v>168844.93</v>
      </c>
      <c r="O26" s="19">
        <v>0</v>
      </c>
      <c r="P26" s="41">
        <f>N26-O26</f>
        <v>168844.93</v>
      </c>
      <c r="Q26" s="48" t="s">
        <v>25</v>
      </c>
      <c r="R26" s="49">
        <v>45666</v>
      </c>
      <c r="S26" s="50" t="s">
        <v>26</v>
      </c>
      <c r="T26" s="20" t="s">
        <v>95</v>
      </c>
      <c r="U26" s="20" t="s">
        <v>81</v>
      </c>
      <c r="V26" s="53" t="s">
        <v>96</v>
      </c>
      <c r="W26" s="19">
        <v>0</v>
      </c>
    </row>
    <row r="27" ht="42" customHeight="1" spans="1:23">
      <c r="A27" s="11">
        <f t="shared" si="0"/>
        <v>25</v>
      </c>
      <c r="B27" s="21" t="s">
        <v>97</v>
      </c>
      <c r="C27" s="18">
        <v>94498.4</v>
      </c>
      <c r="D27" s="19">
        <v>11900</v>
      </c>
      <c r="E27" s="19">
        <v>21308.33</v>
      </c>
      <c r="F27" s="19">
        <v>0</v>
      </c>
      <c r="G27" s="19">
        <f t="shared" si="1"/>
        <v>127706.73</v>
      </c>
      <c r="H27" s="19">
        <v>94498.4</v>
      </c>
      <c r="I27" s="19">
        <v>13490.17</v>
      </c>
      <c r="J27" s="19">
        <v>11900</v>
      </c>
      <c r="K27" s="19">
        <v>1427</v>
      </c>
      <c r="L27" s="19">
        <v>1159</v>
      </c>
      <c r="M27" s="19">
        <v>0</v>
      </c>
      <c r="N27" s="19">
        <f t="shared" si="2"/>
        <v>94498.4</v>
      </c>
      <c r="O27" s="19">
        <v>0</v>
      </c>
      <c r="P27" s="41">
        <f>N27-O27</f>
        <v>94498.4</v>
      </c>
      <c r="Q27" s="48" t="s">
        <v>25</v>
      </c>
      <c r="R27" s="49">
        <v>45680</v>
      </c>
      <c r="S27" s="50" t="s">
        <v>26</v>
      </c>
      <c r="T27" s="20" t="s">
        <v>95</v>
      </c>
      <c r="U27" s="20" t="s">
        <v>81</v>
      </c>
      <c r="V27" s="20" t="s">
        <v>42</v>
      </c>
      <c r="W27" s="19">
        <v>0</v>
      </c>
    </row>
    <row r="28" ht="71.25" spans="1:23">
      <c r="A28" s="11">
        <f t="shared" si="0"/>
        <v>26</v>
      </c>
      <c r="B28" s="21" t="s">
        <v>98</v>
      </c>
      <c r="C28" s="18">
        <v>170000.02</v>
      </c>
      <c r="D28" s="19">
        <v>16500</v>
      </c>
      <c r="E28" s="19">
        <v>8667.17</v>
      </c>
      <c r="F28" s="19">
        <v>0</v>
      </c>
      <c r="G28" s="19">
        <f t="shared" si="1"/>
        <v>195167.19</v>
      </c>
      <c r="H28" s="19">
        <v>170000.02</v>
      </c>
      <c r="I28" s="19">
        <v>9568</v>
      </c>
      <c r="J28" s="19">
        <v>16500</v>
      </c>
      <c r="K28" s="19">
        <v>2102</v>
      </c>
      <c r="L28" s="19">
        <v>1496</v>
      </c>
      <c r="M28" s="19">
        <v>0</v>
      </c>
      <c r="N28" s="19">
        <f t="shared" si="2"/>
        <v>170000.02</v>
      </c>
      <c r="O28" s="19">
        <v>90000</v>
      </c>
      <c r="P28" s="41">
        <f>N28-O28</f>
        <v>80000.02</v>
      </c>
      <c r="Q28" s="48" t="s">
        <v>25</v>
      </c>
      <c r="R28" s="49">
        <v>45652</v>
      </c>
      <c r="S28" s="50" t="s">
        <v>29</v>
      </c>
      <c r="T28" s="20" t="s">
        <v>99</v>
      </c>
      <c r="U28" s="20" t="s">
        <v>100</v>
      </c>
      <c r="V28" s="20" t="s">
        <v>101</v>
      </c>
      <c r="W28" s="19">
        <v>50000</v>
      </c>
    </row>
    <row r="29" ht="71.25" spans="1:23">
      <c r="A29" s="11">
        <f t="shared" si="0"/>
        <v>27</v>
      </c>
      <c r="B29" s="21" t="s">
        <v>102</v>
      </c>
      <c r="C29" s="18">
        <v>10029.14</v>
      </c>
      <c r="D29" s="19">
        <v>6000</v>
      </c>
      <c r="E29" s="19">
        <v>0</v>
      </c>
      <c r="F29" s="19">
        <v>0</v>
      </c>
      <c r="G29" s="19">
        <f t="shared" si="1"/>
        <v>16029.14</v>
      </c>
      <c r="H29" s="19">
        <v>10029.14</v>
      </c>
      <c r="I29" s="19">
        <v>222.59</v>
      </c>
      <c r="J29" s="19">
        <v>6000</v>
      </c>
      <c r="K29" s="19">
        <v>200</v>
      </c>
      <c r="L29" s="19">
        <v>0</v>
      </c>
      <c r="M29" s="19">
        <v>200</v>
      </c>
      <c r="N29" s="19">
        <f t="shared" si="2"/>
        <v>10029.14</v>
      </c>
      <c r="O29" s="19">
        <v>0</v>
      </c>
      <c r="P29" s="41">
        <f>N29-O29</f>
        <v>10029.14</v>
      </c>
      <c r="Q29" s="48" t="s">
        <v>25</v>
      </c>
      <c r="R29" s="49">
        <v>45670</v>
      </c>
      <c r="S29" s="50" t="s">
        <v>26</v>
      </c>
      <c r="T29" s="20" t="s">
        <v>103</v>
      </c>
      <c r="U29" s="20" t="s">
        <v>104</v>
      </c>
      <c r="V29" s="20" t="s">
        <v>105</v>
      </c>
      <c r="W29" s="19">
        <v>0</v>
      </c>
    </row>
    <row r="30" ht="40" customHeight="1" spans="1:23">
      <c r="A30" s="11">
        <f t="shared" si="0"/>
        <v>28</v>
      </c>
      <c r="B30" s="23" t="s">
        <v>106</v>
      </c>
      <c r="C30" s="18">
        <v>499550.1</v>
      </c>
      <c r="D30" s="19">
        <v>36000</v>
      </c>
      <c r="E30" s="19">
        <v>10773.63</v>
      </c>
      <c r="F30" s="19">
        <v>74932.51</v>
      </c>
      <c r="G30" s="19">
        <f t="shared" si="1"/>
        <v>621256.24</v>
      </c>
      <c r="H30" s="19">
        <v>499550.1</v>
      </c>
      <c r="I30" s="19">
        <v>8609.94</v>
      </c>
      <c r="J30" s="19">
        <v>36000</v>
      </c>
      <c r="K30" s="19">
        <v>5006</v>
      </c>
      <c r="L30" s="19">
        <v>3626</v>
      </c>
      <c r="M30" s="19">
        <v>0</v>
      </c>
      <c r="N30" s="19">
        <f t="shared" si="2"/>
        <v>499550.1</v>
      </c>
      <c r="O30" s="19">
        <v>553413.04</v>
      </c>
      <c r="P30" s="40">
        <v>0</v>
      </c>
      <c r="Q30" s="48" t="s">
        <v>25</v>
      </c>
      <c r="R30" s="49">
        <v>45678</v>
      </c>
      <c r="S30" s="50" t="s">
        <v>29</v>
      </c>
      <c r="T30" s="20" t="s">
        <v>107</v>
      </c>
      <c r="U30" s="20"/>
      <c r="V30" s="20"/>
      <c r="W30" s="19"/>
    </row>
    <row r="31" ht="40" customHeight="1" spans="1:23">
      <c r="A31" s="11">
        <f t="shared" si="0"/>
        <v>29</v>
      </c>
      <c r="B31" s="21" t="s">
        <v>108</v>
      </c>
      <c r="C31" s="18">
        <v>404198.02</v>
      </c>
      <c r="D31" s="19">
        <v>30000</v>
      </c>
      <c r="E31" s="19">
        <v>6453.88</v>
      </c>
      <c r="F31" s="19">
        <v>60629.7</v>
      </c>
      <c r="G31" s="19">
        <f t="shared" si="1"/>
        <v>501281.6</v>
      </c>
      <c r="H31" s="19">
        <v>404198.02</v>
      </c>
      <c r="I31" s="19">
        <f>60629.7+6369.43</f>
        <v>66999.13</v>
      </c>
      <c r="J31" s="19">
        <v>30000</v>
      </c>
      <c r="K31" s="19">
        <v>4406</v>
      </c>
      <c r="L31" s="19">
        <v>3026</v>
      </c>
      <c r="M31" s="19">
        <v>0</v>
      </c>
      <c r="N31" s="19">
        <f t="shared" si="2"/>
        <v>404198.02</v>
      </c>
      <c r="O31" s="19">
        <v>134740</v>
      </c>
      <c r="P31" s="41">
        <f>N31-O31</f>
        <v>269458.02</v>
      </c>
      <c r="Q31" s="48" t="s">
        <v>25</v>
      </c>
      <c r="R31" s="49">
        <v>45220</v>
      </c>
      <c r="S31" s="50" t="s">
        <v>29</v>
      </c>
      <c r="T31" s="20" t="s">
        <v>109</v>
      </c>
      <c r="U31" s="20" t="s">
        <v>110</v>
      </c>
      <c r="V31" s="20" t="s">
        <v>46</v>
      </c>
      <c r="W31" s="19">
        <v>269458.02</v>
      </c>
    </row>
    <row r="32" ht="40" customHeight="1" spans="1:23">
      <c r="A32" s="11">
        <f t="shared" si="0"/>
        <v>30</v>
      </c>
      <c r="B32" s="23" t="s">
        <v>111</v>
      </c>
      <c r="C32" s="18">
        <v>1358137.95</v>
      </c>
      <c r="D32" s="19">
        <v>75000</v>
      </c>
      <c r="E32" s="19">
        <v>0</v>
      </c>
      <c r="F32" s="19">
        <v>203720.69</v>
      </c>
      <c r="G32" s="19">
        <f t="shared" si="1"/>
        <v>1636858.64</v>
      </c>
      <c r="H32" s="19">
        <v>1358137.95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f t="shared" si="2"/>
        <v>1358137.95</v>
      </c>
      <c r="O32" s="19">
        <v>1409774.95</v>
      </c>
      <c r="P32" s="40">
        <v>0</v>
      </c>
      <c r="Q32" s="48" t="s">
        <v>25</v>
      </c>
      <c r="R32" s="49">
        <v>45656</v>
      </c>
      <c r="S32" s="50" t="s">
        <v>112</v>
      </c>
      <c r="T32" s="17" t="s">
        <v>113</v>
      </c>
      <c r="U32" s="20"/>
      <c r="V32" s="20"/>
      <c r="W32" s="19"/>
    </row>
    <row r="33" ht="40" customHeight="1" spans="1:23">
      <c r="A33" s="11">
        <f t="shared" si="0"/>
        <v>31</v>
      </c>
      <c r="B33" s="23" t="s">
        <v>114</v>
      </c>
      <c r="C33" s="18">
        <v>53386.48</v>
      </c>
      <c r="D33" s="19">
        <v>9000</v>
      </c>
      <c r="E33" s="19">
        <v>10484.81</v>
      </c>
      <c r="F33" s="19">
        <v>0</v>
      </c>
      <c r="G33" s="19">
        <f t="shared" si="1"/>
        <v>72871.29</v>
      </c>
      <c r="H33" s="19">
        <v>53386.48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f t="shared" si="2"/>
        <v>53386.48</v>
      </c>
      <c r="O33" s="19">
        <v>63500</v>
      </c>
      <c r="P33" s="40">
        <v>0</v>
      </c>
      <c r="Q33" s="48" t="s">
        <v>25</v>
      </c>
      <c r="R33" s="49">
        <v>45700</v>
      </c>
      <c r="S33" s="50" t="s">
        <v>115</v>
      </c>
      <c r="T33" s="17" t="s">
        <v>116</v>
      </c>
      <c r="U33" s="20"/>
      <c r="V33" s="20"/>
      <c r="W33" s="19"/>
    </row>
    <row r="34" ht="40" customHeight="1" spans="1:23">
      <c r="A34" s="11">
        <f t="shared" si="0"/>
        <v>32</v>
      </c>
      <c r="B34" s="23" t="s">
        <v>117</v>
      </c>
      <c r="C34" s="18">
        <v>199492.09</v>
      </c>
      <c r="D34" s="19">
        <v>0</v>
      </c>
      <c r="E34" s="19">
        <v>6700.02</v>
      </c>
      <c r="F34" s="19">
        <v>0</v>
      </c>
      <c r="G34" s="19">
        <f t="shared" si="1"/>
        <v>206192.11</v>
      </c>
      <c r="H34" s="19">
        <v>199492.09</v>
      </c>
      <c r="I34" s="19">
        <v>0</v>
      </c>
      <c r="J34" s="19">
        <v>0</v>
      </c>
      <c r="K34" s="19">
        <v>2196</v>
      </c>
      <c r="L34" s="19">
        <v>1551</v>
      </c>
      <c r="M34" s="19">
        <v>0</v>
      </c>
      <c r="N34" s="19">
        <f t="shared" si="2"/>
        <v>199492.09</v>
      </c>
      <c r="O34" s="19">
        <v>208789.09</v>
      </c>
      <c r="P34" s="40">
        <v>0</v>
      </c>
      <c r="Q34" s="48" t="s">
        <v>25</v>
      </c>
      <c r="R34" s="49"/>
      <c r="S34" s="50" t="s">
        <v>115</v>
      </c>
      <c r="T34" s="17" t="s">
        <v>116</v>
      </c>
      <c r="U34" s="20"/>
      <c r="V34" s="20"/>
      <c r="W34" s="19"/>
    </row>
    <row r="35" ht="39" customHeight="1" spans="1:23">
      <c r="A35" s="11">
        <f t="shared" si="0"/>
        <v>33</v>
      </c>
      <c r="B35" s="23" t="s">
        <v>118</v>
      </c>
      <c r="C35" s="18">
        <v>498987.37</v>
      </c>
      <c r="D35" s="19">
        <v>0</v>
      </c>
      <c r="E35" s="19">
        <v>5002.09</v>
      </c>
      <c r="F35" s="19">
        <v>0</v>
      </c>
      <c r="G35" s="19">
        <f t="shared" si="1"/>
        <v>503989.46</v>
      </c>
      <c r="H35" s="19">
        <v>498987.37</v>
      </c>
      <c r="I35" s="19">
        <v>0</v>
      </c>
      <c r="J35" s="19">
        <v>49898</v>
      </c>
      <c r="K35" s="19">
        <v>4420</v>
      </c>
      <c r="L35" s="19">
        <v>3040</v>
      </c>
      <c r="M35" s="19">
        <v>0</v>
      </c>
      <c r="N35" s="19">
        <f t="shared" si="2"/>
        <v>498987.37</v>
      </c>
      <c r="O35" s="19">
        <v>556845.37</v>
      </c>
      <c r="P35" s="40">
        <v>0</v>
      </c>
      <c r="Q35" s="48" t="s">
        <v>25</v>
      </c>
      <c r="R35" s="49">
        <v>45833</v>
      </c>
      <c r="S35" s="50" t="s">
        <v>29</v>
      </c>
      <c r="T35" s="20" t="s">
        <v>107</v>
      </c>
      <c r="U35" s="20"/>
      <c r="V35" s="20"/>
      <c r="W35" s="19"/>
    </row>
    <row r="36" ht="40" customHeight="1" spans="1:23">
      <c r="A36" s="11">
        <f t="shared" si="0"/>
        <v>34</v>
      </c>
      <c r="B36" s="28" t="s">
        <v>119</v>
      </c>
      <c r="C36" s="18">
        <v>251162.75</v>
      </c>
      <c r="D36" s="19">
        <v>0</v>
      </c>
      <c r="E36" s="19">
        <v>37674.41</v>
      </c>
      <c r="F36" s="19">
        <v>0</v>
      </c>
      <c r="G36" s="19">
        <v>288837.16</v>
      </c>
      <c r="H36" s="19">
        <v>251162.75</v>
      </c>
      <c r="I36" s="19">
        <v>37674.41</v>
      </c>
      <c r="J36" s="19">
        <v>0</v>
      </c>
      <c r="K36" s="19">
        <v>2816</v>
      </c>
      <c r="L36" s="19">
        <v>1970</v>
      </c>
      <c r="M36" s="19">
        <v>0</v>
      </c>
      <c r="N36" s="19">
        <f t="shared" si="2"/>
        <v>251162.75</v>
      </c>
      <c r="O36" s="39">
        <v>0</v>
      </c>
      <c r="P36" s="41">
        <f>N36-O36</f>
        <v>251162.75</v>
      </c>
      <c r="Q36" s="48" t="s">
        <v>25</v>
      </c>
      <c r="R36" s="49">
        <v>44571</v>
      </c>
      <c r="S36" s="50" t="s">
        <v>26</v>
      </c>
      <c r="T36" s="20" t="s">
        <v>120</v>
      </c>
      <c r="U36" s="20" t="s">
        <v>121</v>
      </c>
      <c r="V36" s="20" t="s">
        <v>122</v>
      </c>
      <c r="W36" s="19">
        <v>251162.75</v>
      </c>
    </row>
    <row r="37" ht="40" customHeight="1" spans="1:23">
      <c r="A37" s="11">
        <f t="shared" si="0"/>
        <v>35</v>
      </c>
      <c r="B37" s="28" t="s">
        <v>123</v>
      </c>
      <c r="C37" s="18">
        <v>455745.86</v>
      </c>
      <c r="D37" s="19">
        <v>33600</v>
      </c>
      <c r="E37" s="19">
        <v>14599.06</v>
      </c>
      <c r="F37" s="19">
        <v>68361.87</v>
      </c>
      <c r="G37" s="19">
        <f>SUM(C37:F37)</f>
        <v>572306.79</v>
      </c>
      <c r="H37" s="19"/>
      <c r="I37" s="19"/>
      <c r="J37" s="19"/>
      <c r="K37" s="19"/>
      <c r="L37" s="19"/>
      <c r="M37" s="19"/>
      <c r="N37" s="19">
        <v>455745.86</v>
      </c>
      <c r="O37" s="19">
        <v>0</v>
      </c>
      <c r="P37" s="41">
        <v>455745.86</v>
      </c>
      <c r="Q37" s="48" t="s">
        <v>25</v>
      </c>
      <c r="R37" s="49">
        <v>45225</v>
      </c>
      <c r="S37" s="50" t="s">
        <v>124</v>
      </c>
      <c r="T37" s="20">
        <v>0</v>
      </c>
      <c r="U37" s="20"/>
      <c r="V37" s="20"/>
      <c r="W37" s="19"/>
    </row>
    <row r="38" spans="1:23">
      <c r="A38" s="11">
        <f t="shared" ref="A38:A52" si="4">ROW()-2</f>
        <v>36</v>
      </c>
      <c r="B38" s="29" t="s">
        <v>125</v>
      </c>
      <c r="C38" s="30">
        <v>128016.18</v>
      </c>
      <c r="D38" s="31"/>
      <c r="E38" s="31"/>
      <c r="F38" s="31"/>
      <c r="G38" s="31"/>
      <c r="H38" s="30">
        <v>128016.18</v>
      </c>
      <c r="I38" s="31"/>
      <c r="J38" s="31">
        <v>4000</v>
      </c>
      <c r="K38" s="31"/>
      <c r="L38" s="31"/>
      <c r="M38" s="31"/>
      <c r="N38" s="31">
        <v>128016.18</v>
      </c>
      <c r="O38" s="31"/>
      <c r="P38" s="42">
        <f>N38-O38</f>
        <v>128016.18</v>
      </c>
      <c r="Q38" s="48" t="s">
        <v>25</v>
      </c>
      <c r="R38" s="31"/>
      <c r="S38" s="31" t="s">
        <v>126</v>
      </c>
      <c r="T38" s="54"/>
      <c r="U38" s="54"/>
      <c r="V38" s="54"/>
      <c r="W38" s="31"/>
    </row>
    <row r="39" spans="1:23">
      <c r="A39" s="11">
        <f t="shared" si="4"/>
        <v>37</v>
      </c>
      <c r="B39" s="29" t="s">
        <v>127</v>
      </c>
      <c r="C39" s="30">
        <v>793135.62</v>
      </c>
      <c r="D39" s="30">
        <v>56000</v>
      </c>
      <c r="E39" s="30"/>
      <c r="F39" s="30">
        <v>118970</v>
      </c>
      <c r="G39" s="30"/>
      <c r="H39" s="30">
        <v>485979.84</v>
      </c>
      <c r="I39" s="31"/>
      <c r="J39" s="31"/>
      <c r="K39" s="31"/>
      <c r="L39" s="31"/>
      <c r="M39" s="31"/>
      <c r="N39" s="31"/>
      <c r="O39" s="31"/>
      <c r="P39" s="42">
        <f>N39-O39</f>
        <v>0</v>
      </c>
      <c r="Q39" s="48" t="s">
        <v>25</v>
      </c>
      <c r="R39" s="31"/>
      <c r="S39" s="31"/>
      <c r="T39" s="54"/>
      <c r="U39" s="54"/>
      <c r="V39" s="54"/>
      <c r="W39" s="31"/>
    </row>
    <row r="40" spans="1:23">
      <c r="A40" s="11">
        <f t="shared" si="4"/>
        <v>38</v>
      </c>
      <c r="B40" s="29" t="s">
        <v>128</v>
      </c>
      <c r="C40" s="3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42">
        <f>N40-O40</f>
        <v>0</v>
      </c>
      <c r="Q40" s="48" t="s">
        <v>25</v>
      </c>
      <c r="R40" s="31"/>
      <c r="S40" s="31"/>
      <c r="T40" s="54"/>
      <c r="U40" s="54"/>
      <c r="V40" s="54"/>
      <c r="W40" s="31"/>
    </row>
    <row r="41" spans="1:23">
      <c r="A41" s="11">
        <f t="shared" si="4"/>
        <v>39</v>
      </c>
      <c r="B41" s="29" t="s">
        <v>129</v>
      </c>
      <c r="C41" s="3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42">
        <f>N41-O41</f>
        <v>0</v>
      </c>
      <c r="Q41" s="48" t="s">
        <v>25</v>
      </c>
      <c r="R41" s="31"/>
      <c r="S41" s="31"/>
      <c r="T41" s="54"/>
      <c r="U41" s="54"/>
      <c r="V41" s="54"/>
      <c r="W41" s="31"/>
    </row>
    <row r="42" spans="1:23">
      <c r="A42" s="11">
        <f t="shared" si="4"/>
        <v>40</v>
      </c>
      <c r="B42" s="32" t="s">
        <v>130</v>
      </c>
      <c r="C42" s="30">
        <v>41406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43">
        <v>41406</v>
      </c>
      <c r="Q42" s="48" t="s">
        <v>25</v>
      </c>
      <c r="R42" s="31"/>
      <c r="S42" s="31"/>
      <c r="T42" s="54" t="s">
        <v>131</v>
      </c>
      <c r="U42" s="54"/>
      <c r="V42" s="54"/>
      <c r="W42" s="31"/>
    </row>
    <row r="43" spans="1:23">
      <c r="A43" s="11">
        <f t="shared" si="4"/>
        <v>41</v>
      </c>
      <c r="B43" s="32" t="s">
        <v>132</v>
      </c>
      <c r="C43" s="30">
        <v>225366.7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43">
        <v>225366.7</v>
      </c>
      <c r="Q43" s="48" t="s">
        <v>25</v>
      </c>
      <c r="R43" s="31"/>
      <c r="S43" s="31"/>
      <c r="T43" s="54" t="s">
        <v>131</v>
      </c>
      <c r="U43" s="54"/>
      <c r="V43" s="54"/>
      <c r="W43" s="31"/>
    </row>
    <row r="44" spans="1:23">
      <c r="A44" s="11">
        <f t="shared" si="4"/>
        <v>42</v>
      </c>
      <c r="B44" s="32" t="s">
        <v>133</v>
      </c>
      <c r="C44" s="30">
        <v>33480.4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43">
        <v>33480.4</v>
      </c>
      <c r="Q44" s="48" t="s">
        <v>25</v>
      </c>
      <c r="R44" s="31"/>
      <c r="S44" s="31"/>
      <c r="T44" s="54" t="s">
        <v>131</v>
      </c>
      <c r="U44" s="54"/>
      <c r="V44" s="54"/>
      <c r="W44" s="31"/>
    </row>
    <row r="45" spans="1:23">
      <c r="A45" s="11">
        <f t="shared" si="4"/>
        <v>43</v>
      </c>
      <c r="B45" s="32" t="s">
        <v>134</v>
      </c>
      <c r="C45" s="30">
        <v>563768.18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43">
        <v>563768.18</v>
      </c>
      <c r="Q45" s="48" t="s">
        <v>25</v>
      </c>
      <c r="R45" s="31"/>
      <c r="S45" s="31"/>
      <c r="T45" s="54" t="s">
        <v>131</v>
      </c>
      <c r="U45" s="54"/>
      <c r="V45" s="54"/>
      <c r="W45" s="31"/>
    </row>
    <row r="46" spans="1:23">
      <c r="A46" s="11">
        <f t="shared" si="4"/>
        <v>44</v>
      </c>
      <c r="B46" s="32" t="s">
        <v>135</v>
      </c>
      <c r="C46" s="30">
        <v>27654.69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43">
        <v>27654.69</v>
      </c>
      <c r="Q46" s="48" t="s">
        <v>25</v>
      </c>
      <c r="R46" s="31"/>
      <c r="S46" s="31"/>
      <c r="T46" s="54" t="s">
        <v>131</v>
      </c>
      <c r="U46" s="54"/>
      <c r="V46" s="54"/>
      <c r="W46" s="31"/>
    </row>
    <row r="47" spans="1:23">
      <c r="A47" s="11">
        <f t="shared" si="4"/>
        <v>45</v>
      </c>
      <c r="B47" s="32" t="s">
        <v>136</v>
      </c>
      <c r="C47" s="30">
        <v>346775.14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43">
        <v>346775.14</v>
      </c>
      <c r="Q47" s="48" t="s">
        <v>25</v>
      </c>
      <c r="R47" s="31"/>
      <c r="S47" s="31"/>
      <c r="T47" s="54" t="s">
        <v>131</v>
      </c>
      <c r="U47" s="54"/>
      <c r="V47" s="54"/>
      <c r="W47" s="31"/>
    </row>
    <row r="48" ht="28.5" spans="1:23">
      <c r="A48" s="11">
        <f t="shared" si="4"/>
        <v>46</v>
      </c>
      <c r="B48" s="32" t="s">
        <v>137</v>
      </c>
      <c r="C48" s="30">
        <v>128054.65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>
        <v>100000</v>
      </c>
      <c r="P48" s="43">
        <v>28054.65</v>
      </c>
      <c r="Q48" s="48" t="s">
        <v>25</v>
      </c>
      <c r="R48" s="31"/>
      <c r="S48" s="31"/>
      <c r="T48" s="54" t="s">
        <v>131</v>
      </c>
      <c r="U48" s="54"/>
      <c r="V48" s="54" t="s">
        <v>138</v>
      </c>
      <c r="W48" s="31"/>
    </row>
    <row r="49" spans="2:23">
      <c r="B49" s="33"/>
      <c r="P49" s="6">
        <f>SUM(P3:P48)</f>
        <v>5245583.13</v>
      </c>
      <c r="W49" s="55"/>
    </row>
  </sheetData>
  <autoFilter ref="A2:W37">
    <extLst/>
  </autoFilter>
  <mergeCells count="2">
    <mergeCell ref="C1:G1"/>
    <mergeCell ref="H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WPS_1652835991</cp:lastModifiedBy>
  <dcterms:created xsi:type="dcterms:W3CDTF">2025-10-11T03:12:00Z</dcterms:created>
  <dcterms:modified xsi:type="dcterms:W3CDTF">2026-05-07T15:35:51Z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22FB6793F11F449FA602D09C3CC8BAAA_13</vt:lpwstr>
  </property>
  <property fmtid="{D5CDD505-2E9C-101B-9397-08002B2CF9AE}" pid="3" name="KSOProductBuildVer">
    <vt:lpwstr>2052-10.8.2.6726</vt:lpwstr>
  </property>
</Properties>
</file>